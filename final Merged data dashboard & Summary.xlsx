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Data analytics\Projects\SBP Bank Performance Review\New folder\"/>
    </mc:Choice>
  </mc:AlternateContent>
  <xr:revisionPtr revIDLastSave="0" documentId="13_ncr:1_{4C1CBB0B-3D34-4598-920C-F801B56FDC5D}" xr6:coauthVersionLast="47" xr6:coauthVersionMax="47" xr10:uidLastSave="{00000000-0000-0000-0000-000000000000}"/>
  <bookViews>
    <workbookView xWindow="-120" yWindow="-120" windowWidth="24240" windowHeight="13020" activeTab="5" xr2:uid="{F39D3465-DFD9-4632-8C3F-03139AF21526}"/>
  </bookViews>
  <sheets>
    <sheet name="periods" sheetId="2" r:id="rId1"/>
    <sheet name="asset_quality" sheetId="4" r:id="rId2"/>
    <sheet name="profitability" sheetId="3" r:id="rId3"/>
    <sheet name="macro_overlay" sheetId="5" r:id="rId4"/>
    <sheet name="Merge1" sheetId="6" r:id="rId5"/>
    <sheet name="Dashboard" sheetId="9" r:id="rId6"/>
  </sheets>
  <definedNames>
    <definedName name="ExternalData_1" localSheetId="1" hidden="1">asset_quality!$A$1:$D$13</definedName>
    <definedName name="ExternalData_1" localSheetId="3" hidden="1">macro_overlay!$A$1:$D$13</definedName>
    <definedName name="ExternalData_1" localSheetId="4" hidden="1">Merge1!$A$1:$S$13</definedName>
    <definedName name="ExternalData_1" localSheetId="0" hidden="1">periods!$A$1:$D$13</definedName>
    <definedName name="ExternalData_1" localSheetId="2" hidden="1">profitability!$A$1:$G$13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9" l="1"/>
  <c r="C8" i="9"/>
  <c r="D7" i="9"/>
  <c r="C7" i="9"/>
  <c r="D6" i="9"/>
  <c r="C6" i="9"/>
  <c r="D5" i="9"/>
  <c r="C5" i="9"/>
  <c r="E6" i="9" l="1"/>
  <c r="E5" i="9"/>
  <c r="E8" i="9"/>
  <c r="E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C1D2B-E10E-49FC-8A75-E2B8C7FF0544}"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955D734E-B8CC-4789-BE6B-D6539E9151D9}"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FB709705-0F51-4C09-8F0B-4E46CDF7EDDC}"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4" xr16:uid="{2F35FCC6-3A3D-4E15-B4AF-D4596C439F7D}"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5" xr16:uid="{3DBB1676-A379-4BC5-AA50-043D38803224}"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s>
</file>

<file path=xl/sharedStrings.xml><?xml version="1.0" encoding="utf-8"?>
<sst xmlns="http://schemas.openxmlformats.org/spreadsheetml/2006/main" count="71" uniqueCount="30">
  <si>
    <t>period_id</t>
  </si>
  <si>
    <t>period_end</t>
  </si>
  <si>
    <t>half</t>
  </si>
  <si>
    <t>calendar_yr</t>
  </si>
  <si>
    <t>H1</t>
  </si>
  <si>
    <t>H2</t>
  </si>
  <si>
    <t>roe_before_tax</t>
  </si>
  <si>
    <t>roe_after_tax</t>
  </si>
  <si>
    <t>roa_before_tax</t>
  </si>
  <si>
    <t>nim</t>
  </si>
  <si>
    <t>cost_to_income</t>
  </si>
  <si>
    <t>pbt_rs_bn</t>
  </si>
  <si>
    <t>gross_npl_ratio</t>
  </si>
  <si>
    <t>net_npl_capital</t>
  </si>
  <si>
    <t>provision_coverage</t>
  </si>
  <si>
    <t>policy_rate</t>
  </si>
  <si>
    <t>cpi_inflation</t>
  </si>
  <si>
    <t>assets_pct_gdp</t>
  </si>
  <si>
    <t>BANKING SECTOR PERFORMANCE DASHBOARD</t>
  </si>
  <si>
    <t>KPI Metric</t>
  </si>
  <si>
    <t>Latest (H1 2025)</t>
  </si>
  <si>
    <t>Previous (H2 2024)</t>
  </si>
  <si>
    <t>Variance</t>
  </si>
  <si>
    <t>Return on Equity (ROE)</t>
  </si>
  <si>
    <t>Net Interest Margin (NIM)</t>
  </si>
  <si>
    <t>Gross NPL Ratio</t>
  </si>
  <si>
    <t>Provision Coverage Ratio</t>
  </si>
  <si>
    <t>Total Assets (Rs. tr)</t>
  </si>
  <si>
    <t>CAR (%)</t>
  </si>
  <si>
    <t>ADR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</si>
</sst>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14" fontId="0" fillId="0" borderId="0" xfId="0" applyNumberFormat="1"/>
    <xf numFmtId="0" fontId="2" fillId="0" borderId="0" xfId="0" applyFont="1"/>
    <xf numFmtId="10" fontId="0" fillId="0" borderId="0" xfId="0" applyNumberFormat="1"/>
    <xf numFmtId="0" fontId="0" fillId="0" borderId="3" xfId="0" applyBorder="1"/>
    <xf numFmtId="0" fontId="0" fillId="0" borderId="5" xfId="0" applyBorder="1"/>
    <xf numFmtId="0" fontId="0" fillId="0" borderId="6" xfId="0" applyBorder="1"/>
    <xf numFmtId="0" fontId="2" fillId="0" borderId="6" xfId="0" applyFont="1" applyBorder="1"/>
    <xf numFmtId="0" fontId="1" fillId="2" borderId="1" xfId="0" applyFont="1" applyFill="1" applyBorder="1"/>
    <xf numFmtId="0" fontId="1" fillId="2" borderId="2" xfId="0" applyFont="1" applyFill="1" applyBorder="1"/>
    <xf numFmtId="0" fontId="1" fillId="2" borderId="10" xfId="0" applyFont="1" applyFill="1" applyBorder="1"/>
    <xf numFmtId="10" fontId="0" fillId="0" borderId="4" xfId="0" applyNumberFormat="1" applyBorder="1"/>
    <xf numFmtId="10" fontId="0" fillId="0" borderId="7" xfId="0" applyNumberFormat="1" applyBorder="1"/>
    <xf numFmtId="10" fontId="0" fillId="0" borderId="8" xfId="0" applyNumberFormat="1" applyBorder="1"/>
    <xf numFmtId="10" fontId="0" fillId="0" borderId="9" xfId="0" applyNumberFormat="1" applyBorder="1"/>
  </cellXfs>
  <cellStyles count="1">
    <cellStyle name="Normal" xfId="0" builtinId="0"/>
  </cellStyles>
  <dxfs count="4">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Macroeconomic Policy Rate vs. Banking Sector ROE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Merge1!$F$1</c:f>
              <c:strCache>
                <c:ptCount val="1"/>
                <c:pt idx="0">
                  <c:v>roe_after_tax</c:v>
                </c:pt>
              </c:strCache>
            </c:strRef>
          </c:tx>
          <c:spPr>
            <a:solidFill>
              <a:schemeClr val="accent2"/>
            </a:solidFill>
            <a:ln>
              <a:noFill/>
            </a:ln>
            <a:effectLst/>
          </c:spPr>
          <c:invertIfNegative val="0"/>
          <c:cat>
            <c:multiLvlStrRef>
              <c:f>Merge1!#REF!</c:f>
            </c:multiLvlStrRef>
          </c:cat>
          <c:val>
            <c:numRef>
              <c:f>Merge1!$F$2:$F$13</c:f>
              <c:numCache>
                <c:formatCode>General</c:formatCode>
                <c:ptCount val="12"/>
                <c:pt idx="0">
                  <c:v>9.1999999999999993</c:v>
                </c:pt>
                <c:pt idx="1">
                  <c:v>9.8000000000000007</c:v>
                </c:pt>
                <c:pt idx="2">
                  <c:v>8.5</c:v>
                </c:pt>
                <c:pt idx="3">
                  <c:v>8.1</c:v>
                </c:pt>
                <c:pt idx="4">
                  <c:v>9.1</c:v>
                </c:pt>
                <c:pt idx="5">
                  <c:v>10.199999999999999</c:v>
                </c:pt>
                <c:pt idx="6">
                  <c:v>14.5</c:v>
                </c:pt>
                <c:pt idx="7">
                  <c:v>16.899999999999999</c:v>
                </c:pt>
                <c:pt idx="8">
                  <c:v>22.4</c:v>
                </c:pt>
                <c:pt idx="9">
                  <c:v>27.1</c:v>
                </c:pt>
                <c:pt idx="10">
                  <c:v>15.2</c:v>
                </c:pt>
                <c:pt idx="11">
                  <c:v>10.8</c:v>
                </c:pt>
              </c:numCache>
            </c:numRef>
          </c:val>
          <c:extLst>
            <c:ext xmlns:c16="http://schemas.microsoft.com/office/drawing/2014/chart" uri="{C3380CC4-5D6E-409C-BE32-E72D297353CC}">
              <c16:uniqueId val="{00000000-8B6A-486E-BE45-66230F0CB376}"/>
            </c:ext>
          </c:extLst>
        </c:ser>
        <c:dLbls>
          <c:showLegendKey val="0"/>
          <c:showVal val="0"/>
          <c:showCatName val="0"/>
          <c:showSerName val="0"/>
          <c:showPercent val="0"/>
          <c:showBubbleSize val="0"/>
        </c:dLbls>
        <c:gapWidth val="219"/>
        <c:axId val="1231800512"/>
        <c:axId val="1231806272"/>
      </c:barChart>
      <c:lineChart>
        <c:grouping val="standard"/>
        <c:varyColors val="0"/>
        <c:ser>
          <c:idx val="0"/>
          <c:order val="0"/>
          <c:tx>
            <c:strRef>
              <c:f>Merge1!$Q$1</c:f>
              <c:strCache>
                <c:ptCount val="1"/>
                <c:pt idx="0">
                  <c:v>policy_rate</c:v>
                </c:pt>
              </c:strCache>
            </c:strRef>
          </c:tx>
          <c:spPr>
            <a:ln w="28575" cap="rnd">
              <a:solidFill>
                <a:schemeClr val="accent1"/>
              </a:solidFill>
              <a:round/>
            </a:ln>
            <a:effectLst/>
          </c:spPr>
          <c:marker>
            <c:symbol val="none"/>
          </c:marker>
          <c:cat>
            <c:numRef>
              <c:f>Merge1!$B$2:$B$13</c:f>
              <c:numCache>
                <c:formatCode>m/d/yyyy</c:formatCode>
                <c:ptCount val="12"/>
                <c:pt idx="0">
                  <c:v>43646</c:v>
                </c:pt>
                <c:pt idx="1">
                  <c:v>43830</c:v>
                </c:pt>
                <c:pt idx="2">
                  <c:v>44012</c:v>
                </c:pt>
                <c:pt idx="3">
                  <c:v>44196</c:v>
                </c:pt>
                <c:pt idx="4">
                  <c:v>44377</c:v>
                </c:pt>
                <c:pt idx="5">
                  <c:v>44561</c:v>
                </c:pt>
                <c:pt idx="6">
                  <c:v>44742</c:v>
                </c:pt>
                <c:pt idx="7">
                  <c:v>44926</c:v>
                </c:pt>
                <c:pt idx="8">
                  <c:v>45107</c:v>
                </c:pt>
                <c:pt idx="9">
                  <c:v>45291</c:v>
                </c:pt>
                <c:pt idx="10">
                  <c:v>45473</c:v>
                </c:pt>
                <c:pt idx="11">
                  <c:v>45838</c:v>
                </c:pt>
              </c:numCache>
            </c:numRef>
          </c:cat>
          <c:val>
            <c:numRef>
              <c:f>Merge1!$Q$2:$Q$13</c:f>
              <c:numCache>
                <c:formatCode>General</c:formatCode>
                <c:ptCount val="12"/>
                <c:pt idx="0">
                  <c:v>10.75</c:v>
                </c:pt>
                <c:pt idx="1">
                  <c:v>13.25</c:v>
                </c:pt>
                <c:pt idx="2">
                  <c:v>11</c:v>
                </c:pt>
                <c:pt idx="3">
                  <c:v>7</c:v>
                </c:pt>
                <c:pt idx="4">
                  <c:v>7</c:v>
                </c:pt>
                <c:pt idx="5">
                  <c:v>8.1300000000000008</c:v>
                </c:pt>
                <c:pt idx="6">
                  <c:v>10.88</c:v>
                </c:pt>
                <c:pt idx="7">
                  <c:v>15</c:v>
                </c:pt>
                <c:pt idx="8">
                  <c:v>18.579999999999998</c:v>
                </c:pt>
                <c:pt idx="9">
                  <c:v>22</c:v>
                </c:pt>
                <c:pt idx="10">
                  <c:v>21.17</c:v>
                </c:pt>
                <c:pt idx="11">
                  <c:v>14.13</c:v>
                </c:pt>
              </c:numCache>
            </c:numRef>
          </c:val>
          <c:smooth val="0"/>
          <c:extLst>
            <c:ext xmlns:c16="http://schemas.microsoft.com/office/drawing/2014/chart" uri="{C3380CC4-5D6E-409C-BE32-E72D297353CC}">
              <c16:uniqueId val="{00000001-8B6A-486E-BE45-66230F0CB376}"/>
            </c:ext>
          </c:extLst>
        </c:ser>
        <c:dLbls>
          <c:showLegendKey val="0"/>
          <c:showVal val="0"/>
          <c:showCatName val="0"/>
          <c:showSerName val="0"/>
          <c:showPercent val="0"/>
          <c:showBubbleSize val="0"/>
        </c:dLbls>
        <c:marker val="1"/>
        <c:smooth val="0"/>
        <c:axId val="1231764512"/>
        <c:axId val="1231764032"/>
      </c:lineChart>
      <c:catAx>
        <c:axId val="123180051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06272"/>
        <c:crosses val="autoZero"/>
        <c:auto val="0"/>
        <c:lblAlgn val="ctr"/>
        <c:lblOffset val="100"/>
        <c:noMultiLvlLbl val="0"/>
      </c:catAx>
      <c:valAx>
        <c:axId val="1231806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Return on Equity (%)</a:t>
                </a:r>
                <a:endParaRPr lang="en-US"/>
              </a:p>
            </c:rich>
          </c:tx>
          <c:layout>
            <c:manualLayout>
              <c:xMode val="edge"/>
              <c:yMode val="edge"/>
              <c:x val="1.1013485771490389E-2"/>
              <c:y val="0.212309666457588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00512"/>
        <c:crosses val="autoZero"/>
        <c:crossBetween val="between"/>
      </c:valAx>
      <c:valAx>
        <c:axId val="1231764032"/>
        <c:scaling>
          <c:orientation val="minMax"/>
        </c:scaling>
        <c:delete val="0"/>
        <c:axPos val="r"/>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Policy Rate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94615336042866605"/>
              <c:y val="0.28049902426378598"/>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764512"/>
        <c:crosses val="max"/>
        <c:crossBetween val="between"/>
      </c:valAx>
      <c:dateAx>
        <c:axId val="1231764512"/>
        <c:scaling>
          <c:orientation val="minMax"/>
        </c:scaling>
        <c:delete val="1"/>
        <c:axPos val="b"/>
        <c:numFmt formatCode="m/d/yyyy" sourceLinked="1"/>
        <c:majorTickMark val="out"/>
        <c:minorTickMark val="none"/>
        <c:tickLblPos val="nextTo"/>
        <c:crossAx val="1231764032"/>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16754</xdr:colOff>
      <xdr:row>9</xdr:row>
      <xdr:rowOff>57379</xdr:rowOff>
    </xdr:from>
    <xdr:to>
      <xdr:col>5</xdr:col>
      <xdr:colOff>19050</xdr:colOff>
      <xdr:row>24</xdr:row>
      <xdr:rowOff>123825</xdr:rowOff>
    </xdr:to>
    <xdr:graphicFrame macro="">
      <xdr:nvGraphicFramePr>
        <xdr:cNvPr id="2" name="Chart 1">
          <a:extLst>
            <a:ext uri="{FF2B5EF4-FFF2-40B4-BE49-F238E27FC236}">
              <a16:creationId xmlns:a16="http://schemas.microsoft.com/office/drawing/2014/main" id="{3FCC9B34-4300-4DD6-A134-F321A3BC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14654</xdr:colOff>
      <xdr:row>25</xdr:row>
      <xdr:rowOff>154324</xdr:rowOff>
    </xdr:from>
    <xdr:to>
      <xdr:col>5</xdr:col>
      <xdr:colOff>29309</xdr:colOff>
      <xdr:row>38</xdr:row>
      <xdr:rowOff>182166</xdr:rowOff>
    </xdr:to>
    <xdr:sp macro="" textlink="">
      <xdr:nvSpPr>
        <xdr:cNvPr id="3" name="TextBox 2">
          <a:extLst>
            <a:ext uri="{FF2B5EF4-FFF2-40B4-BE49-F238E27FC236}">
              <a16:creationId xmlns:a16="http://schemas.microsoft.com/office/drawing/2014/main" id="{04A19D08-15A4-56D9-F04B-ED658D077801}"/>
            </a:ext>
          </a:extLst>
        </xdr:cNvPr>
        <xdr:cNvSpPr txBox="1"/>
      </xdr:nvSpPr>
      <xdr:spPr>
        <a:xfrm>
          <a:off x="619888" y="4946590"/>
          <a:ext cx="6959968" cy="24785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Summary</a:t>
          </a:r>
        </a:p>
        <a:p>
          <a:endParaRPr lang="en-US"/>
        </a:p>
        <a:p>
          <a:r>
            <a:rPr lang="en-US"/>
            <a:t>The banking sector showed strong performance in the first half of 2025. Profitability improved, with the Return on Equity rising to 10.8% and Net Interest Margins increasing to 4.6%. This growth in earnings was largely driven by high interest rates. The State Bank policy rate hit a peak of 22% in late 2023 to control inflation and then gradually came down to 14.13% by mid-2025. Because banks were able to earn high returns on government securities and loans while keeping deposit costs low, their overall profit margins expanded.</a:t>
          </a:r>
        </a:p>
        <a:p>
          <a:endParaRPr lang="en-US"/>
        </a:p>
        <a:p>
          <a:r>
            <a:rPr lang="en-US"/>
            <a:t>However, keeping interest rates high for a long time has made it harder for private borrowers to pay back their loans. Because of this economic pressure, asset quality has dropped slightly. The Gross NPL Ratio increased to 7.4% in the first half of 2025. At the same time, the Provision Coverage Ratio dropped slightly to 86.9%, showing that banks have slightly smaller safety buffers set aside for bad loans. While these credit risks are still completely under control, the combination of rising bad loans and lower coverage means banks must stay cautious as interest rates continue to fall.</a:t>
          </a:r>
        </a:p>
        <a:p>
          <a:endParaRPr lang="en-US"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A4E496E-E47B-49A8-AEEB-6C4F873D80F4}" autoFormatId="16" applyNumberFormats="0" applyBorderFormats="0" applyFontFormats="0" applyPatternFormats="0" applyAlignmentFormats="0" applyWidthHeightFormats="0">
  <queryTableRefresh nextId="5">
    <queryTableFields count="4">
      <queryTableField id="1" name="period_id" tableColumnId="1"/>
      <queryTableField id="2" name="period_end" tableColumnId="2"/>
      <queryTableField id="3" name="half" tableColumnId="3"/>
      <queryTableField id="4" name="calendar_yr"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B2E193DE-FC53-45F7-91A2-020992466346}" autoFormatId="16" applyNumberFormats="0" applyBorderFormats="0" applyFontFormats="0" applyPatternFormats="0" applyAlignmentFormats="0" applyWidthHeightFormats="0">
  <queryTableRefresh nextId="5">
    <queryTableFields count="4">
      <queryTableField id="1" name="period_id" tableColumnId="1"/>
      <queryTableField id="2" name="gross_npl_ratio" tableColumnId="2"/>
      <queryTableField id="3" name="net_npl_capital" tableColumnId="3"/>
      <queryTableField id="4" name="provision_coverag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76C6859F-FA35-4941-A291-AA7BDC1BBF8C}" autoFormatId="16" applyNumberFormats="0" applyBorderFormats="0" applyFontFormats="0" applyPatternFormats="0" applyAlignmentFormats="0" applyWidthHeightFormats="0">
  <queryTableRefresh nextId="8">
    <queryTableFields count="7">
      <queryTableField id="1" name="period_id" tableColumnId="1"/>
      <queryTableField id="2" name="roe_before_tax" tableColumnId="2"/>
      <queryTableField id="3" name="roe_after_tax" tableColumnId="3"/>
      <queryTableField id="4" name="roa_before_tax" tableColumnId="4"/>
      <queryTableField id="5" name="nim" tableColumnId="5"/>
      <queryTableField id="6" name="cost_to_income" tableColumnId="6"/>
      <queryTableField id="7" name="pbt_rs_bn"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D92AAB2C-5167-47E4-9533-B72314AAF23B}" autoFormatId="16" applyNumberFormats="0" applyBorderFormats="0" applyFontFormats="0" applyPatternFormats="0" applyAlignmentFormats="0" applyWidthHeightFormats="0">
  <queryTableRefresh nextId="5">
    <queryTableFields count="4">
      <queryTableField id="1" name="period_id" tableColumnId="1"/>
      <queryTableField id="2" name="policy_rate" tableColumnId="2"/>
      <queryTableField id="3" name="cpi_inflation" tableColumnId="3"/>
      <queryTableField id="4" name="assets_pct_gdp"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AF1C6D21-C481-4C9C-8B00-51A01D737BC9}" autoFormatId="16" applyNumberFormats="0" applyBorderFormats="0" applyFontFormats="0" applyPatternFormats="0" applyAlignmentFormats="0" applyWidthHeightFormats="0">
  <queryTableRefresh nextId="22">
    <queryTableFields count="19">
      <queryTableField id="1" name="period_id" tableColumnId="1"/>
      <queryTableField id="2" name="period_end" tableColumnId="2"/>
      <queryTableField id="3" name="half" tableColumnId="3"/>
      <queryTableField id="4" name="calendar_yr" tableColumnId="4"/>
      <queryTableField id="5" name="roe_before_tax" tableColumnId="5"/>
      <queryTableField id="6" name="roe_after_tax" tableColumnId="6"/>
      <queryTableField id="20" name="roa_before_tax" tableColumnId="20"/>
      <queryTableField id="7" name="nim" tableColumnId="7"/>
      <queryTableField id="8" name="cost_to_income" tableColumnId="8"/>
      <queryTableField id="9" name="pbt_rs_bn" tableColumnId="9"/>
      <queryTableField id="10" name="gross_npl_ratio" tableColumnId="10"/>
      <queryTableField id="11" name="net_npl_capital" tableColumnId="11"/>
      <queryTableField id="12" name="provision_coverage" tableColumnId="12"/>
      <queryTableField id="13" name="Total Assets (Rs. tr)" tableColumnId="13"/>
      <queryTableField id="14" name="ADR (%)" tableColumnId="14"/>
      <queryTableField id="15" name="CAR (%)" tableColumnId="15"/>
      <queryTableField id="16" name="policy_rate" tableColumnId="16"/>
      <queryTableField id="17" name="cpi_inflation" tableColumnId="17"/>
      <queryTableField id="18" name="assets_pct_gdp"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D2FD2-558E-45BE-A8A6-4781DF0546D2}" name="Query1" displayName="Query1" ref="A1:D13" tableType="queryTable" totalsRowShown="0">
  <autoFilter ref="A1:D13" xr:uid="{5F3D2FD2-558E-45BE-A8A6-4781DF0546D2}"/>
  <tableColumns count="4">
    <tableColumn id="1" xr3:uid="{A5ADDC0E-0BFF-4A92-A87F-B89CFE092F70}" uniqueName="1" name="period_id" queryTableFieldId="1"/>
    <tableColumn id="2" xr3:uid="{C285BB0D-19B1-4656-BDC1-B7D7BC19E41C}" uniqueName="2" name="period_end" queryTableFieldId="2" dataDxfId="1"/>
    <tableColumn id="3" xr3:uid="{7BD795B3-0108-4CD8-B48F-1B8AD40F7CE6}" uniqueName="3" name="half" queryTableFieldId="3" dataDxfId="3"/>
    <tableColumn id="4" xr3:uid="{58A561B9-4501-4C0F-84F8-1F0EB5A72AC4}" uniqueName="4" name="calendar_yr"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5CCD87-E1D6-4CFB-BD58-26D7177433EF}" name="Query3" displayName="Query3" ref="A1:D13" tableType="queryTable" totalsRowShown="0">
  <autoFilter ref="A1:D13" xr:uid="{F25CCD87-E1D6-4CFB-BD58-26D7177433EF}"/>
  <tableColumns count="4">
    <tableColumn id="1" xr3:uid="{041E2472-13C2-4C72-A784-2EBBE6AE741C}" uniqueName="1" name="period_id" queryTableFieldId="1"/>
    <tableColumn id="2" xr3:uid="{8B23EE4F-2568-4D5D-952F-49AF1963224C}" uniqueName="2" name="gross_npl_ratio" queryTableFieldId="2"/>
    <tableColumn id="3" xr3:uid="{785E7E6D-F0C4-4914-882E-8EC87A539221}" uniqueName="3" name="net_npl_capital" queryTableFieldId="3"/>
    <tableColumn id="4" xr3:uid="{6B89231F-B488-4592-A570-CD7FBB62E753}" uniqueName="4" name="provision_coverage" queryTableField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289A3E-1831-4B1A-80F6-3361E5285BE1}" name="Query4" displayName="Query4" ref="A1:G13" tableType="queryTable" totalsRowShown="0">
  <autoFilter ref="A1:G13" xr:uid="{0C289A3E-1831-4B1A-80F6-3361E5285BE1}"/>
  <tableColumns count="7">
    <tableColumn id="1" xr3:uid="{0A843FF6-500B-4D1D-9864-FFF7E1C168E3}" uniqueName="1" name="period_id" queryTableFieldId="1"/>
    <tableColumn id="2" xr3:uid="{5E8FFA60-4C88-4EFC-93C4-A670C896FC72}" uniqueName="2" name="roe_before_tax" queryTableFieldId="2"/>
    <tableColumn id="3" xr3:uid="{7B9EECBC-AD3B-4DD4-9A8B-066CAB2AEEA0}" uniqueName="3" name="roe_after_tax" queryTableFieldId="3"/>
    <tableColumn id="4" xr3:uid="{C998CB82-4639-4D32-AA91-CD40C985F38A}" uniqueName="4" name="roa_before_tax" queryTableFieldId="4"/>
    <tableColumn id="5" xr3:uid="{8C2EF815-1DBA-40D7-809A-027F5B204E55}" uniqueName="5" name="nim" queryTableFieldId="5"/>
    <tableColumn id="6" xr3:uid="{7AC1B09B-142F-4216-B288-A8F8AD2AF66E}" uniqueName="6" name="cost_to_income" queryTableFieldId="6"/>
    <tableColumn id="7" xr3:uid="{3B44E960-FA44-4188-9162-017B5227741F}" uniqueName="7" name="pbt_rs_bn" queryTableField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A7A950-7930-4E0F-9673-442719050324}" name="Query2" displayName="Query2" ref="A1:D13" tableType="queryTable" totalsRowShown="0">
  <autoFilter ref="A1:D13" xr:uid="{3DA7A950-7930-4E0F-9673-442719050324}"/>
  <tableColumns count="4">
    <tableColumn id="1" xr3:uid="{7BC11D8E-9F38-4E73-A0BD-CD124B206CAD}" uniqueName="1" name="period_id" queryTableFieldId="1"/>
    <tableColumn id="2" xr3:uid="{80740D74-52AD-426A-BC2E-1CF5FCC22237}" uniqueName="2" name="policy_rate" queryTableFieldId="2"/>
    <tableColumn id="3" xr3:uid="{8828A03E-E42E-4C51-B861-4CC91464939D}" uniqueName="3" name="cpi_inflation" queryTableFieldId="3"/>
    <tableColumn id="4" xr3:uid="{436979EF-D667-4B55-B1C3-01F0C7CCB5B0}" uniqueName="4" name="assets_pct_gdp" queryTableField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2D15CA-8E0D-4085-A893-407CDBA179E9}" name="Merge1" displayName="Merge1" ref="A1:S13" tableType="queryTable" totalsRowShown="0">
  <autoFilter ref="A1:S13" xr:uid="{DC2D15CA-8E0D-4085-A893-407CDBA179E9}"/>
  <tableColumns count="19">
    <tableColumn id="1" xr3:uid="{BF8498A8-53D2-439B-BF71-8E9CD18ED29B}" uniqueName="1" name="period_id" queryTableFieldId="1"/>
    <tableColumn id="2" xr3:uid="{48E85045-6D5C-4548-9BB7-32DE392E853B}" uniqueName="2" name="period_end" queryTableFieldId="2" dataDxfId="0"/>
    <tableColumn id="3" xr3:uid="{EE98A92C-0FF2-48F7-82A0-54E94DD2DBEC}" uniqueName="3" name="half" queryTableFieldId="3" dataDxfId="2"/>
    <tableColumn id="4" xr3:uid="{059DDB76-C8BD-45DC-950B-C1F140F56239}" uniqueName="4" name="calendar_yr" queryTableFieldId="4"/>
    <tableColumn id="5" xr3:uid="{7131C0D8-5D4D-458C-B13B-09E91C69D8B2}" uniqueName="5" name="roe_before_tax" queryTableFieldId="5"/>
    <tableColumn id="6" xr3:uid="{CBD79E41-22BC-4471-AB8E-14FB3E871E2C}" uniqueName="6" name="roe_after_tax" queryTableFieldId="6"/>
    <tableColumn id="20" xr3:uid="{F1512623-4C15-4B5E-98D9-29508DFE59D9}" uniqueName="20" name="roa_before_tax" queryTableFieldId="20"/>
    <tableColumn id="7" xr3:uid="{400B5DD6-BDFE-4DF0-8D11-10FF0EC7A621}" uniqueName="7" name="nim" queryTableFieldId="7"/>
    <tableColumn id="8" xr3:uid="{4BBCD4B7-7807-4C0A-B820-09C40B06FF0A}" uniqueName="8" name="cost_to_income" queryTableFieldId="8"/>
    <tableColumn id="9" xr3:uid="{181DE900-69B6-4E6A-A568-CAB19F15FFAD}" uniqueName="9" name="pbt_rs_bn" queryTableFieldId="9"/>
    <tableColumn id="10" xr3:uid="{0C00B0F8-F544-40CE-ACBC-424423DC1E78}" uniqueName="10" name="gross_npl_ratio" queryTableFieldId="10"/>
    <tableColumn id="11" xr3:uid="{74F6D25F-FF48-4C08-9070-72AA44AA9B68}" uniqueName="11" name="net_npl_capital" queryTableFieldId="11"/>
    <tableColumn id="12" xr3:uid="{30B64D5C-9874-4620-90CA-0BFED72414E1}" uniqueName="12" name="provision_coverage" queryTableFieldId="12"/>
    <tableColumn id="13" xr3:uid="{7B86772D-8926-43A5-9B45-E7A2F88E0D0F}" uniqueName="13" name="Total Assets (Rs. tr)" queryTableFieldId="13"/>
    <tableColumn id="14" xr3:uid="{341E2C1A-9214-41B2-9CB5-5C9423C3A40D}" uniqueName="14" name="ADR (%)" queryTableFieldId="14"/>
    <tableColumn id="15" xr3:uid="{D347C4D0-CB75-4747-9964-0EE4A7950532}" uniqueName="15" name="CAR (%)" queryTableFieldId="15"/>
    <tableColumn id="16" xr3:uid="{A7058C49-B0FD-453B-B8BA-4A8F7A7ABEC3}" uniqueName="16" name="policy_rate" queryTableFieldId="16"/>
    <tableColumn id="17" xr3:uid="{0AE17699-E0C3-40F9-B2EA-020EDC94DFC1}" uniqueName="17" name="cpi_inflation" queryTableFieldId="17"/>
    <tableColumn id="18" xr3:uid="{89C5C16E-7CE6-464C-94B4-45E71DB56B27}" uniqueName="18" name="assets_pct_gdp"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AAA8-671E-4989-9A48-4EAFA7B1F6DA}">
  <dimension ref="A1:D13"/>
  <sheetViews>
    <sheetView workbookViewId="0">
      <selection activeCell="H9" sqref="H9"/>
    </sheetView>
  </sheetViews>
  <sheetFormatPr defaultRowHeight="15" x14ac:dyDescent="0.25"/>
  <cols>
    <col min="1" max="1" width="11.7109375" bestFit="1" customWidth="1"/>
    <col min="2" max="2" width="13.42578125" bestFit="1" customWidth="1"/>
    <col min="3" max="3" width="6.7109375" bestFit="1" customWidth="1"/>
    <col min="4" max="4" width="13.5703125" bestFit="1" customWidth="1"/>
  </cols>
  <sheetData>
    <row r="1" spans="1:4" x14ac:dyDescent="0.25">
      <c r="A1" t="s">
        <v>0</v>
      </c>
      <c r="B1" t="s">
        <v>1</v>
      </c>
      <c r="C1" t="s">
        <v>2</v>
      </c>
      <c r="D1" t="s">
        <v>3</v>
      </c>
    </row>
    <row r="2" spans="1:4" x14ac:dyDescent="0.25">
      <c r="A2">
        <v>1</v>
      </c>
      <c r="B2" s="1">
        <v>43646</v>
      </c>
      <c r="C2" t="s">
        <v>4</v>
      </c>
      <c r="D2">
        <v>2019</v>
      </c>
    </row>
    <row r="3" spans="1:4" x14ac:dyDescent="0.25">
      <c r="A3">
        <v>2</v>
      </c>
      <c r="B3" s="1">
        <v>43830</v>
      </c>
      <c r="C3" t="s">
        <v>5</v>
      </c>
      <c r="D3">
        <v>2019</v>
      </c>
    </row>
    <row r="4" spans="1:4" x14ac:dyDescent="0.25">
      <c r="A4">
        <v>3</v>
      </c>
      <c r="B4" s="1">
        <v>44012</v>
      </c>
      <c r="C4" t="s">
        <v>4</v>
      </c>
      <c r="D4">
        <v>2020</v>
      </c>
    </row>
    <row r="5" spans="1:4" x14ac:dyDescent="0.25">
      <c r="A5">
        <v>4</v>
      </c>
      <c r="B5" s="1">
        <v>44196</v>
      </c>
      <c r="C5" t="s">
        <v>5</v>
      </c>
      <c r="D5">
        <v>2020</v>
      </c>
    </row>
    <row r="6" spans="1:4" x14ac:dyDescent="0.25">
      <c r="A6">
        <v>5</v>
      </c>
      <c r="B6" s="1">
        <v>44377</v>
      </c>
      <c r="C6" t="s">
        <v>4</v>
      </c>
      <c r="D6">
        <v>2021</v>
      </c>
    </row>
    <row r="7" spans="1:4" x14ac:dyDescent="0.25">
      <c r="A7">
        <v>6</v>
      </c>
      <c r="B7" s="1">
        <v>44561</v>
      </c>
      <c r="C7" t="s">
        <v>5</v>
      </c>
      <c r="D7">
        <v>2021</v>
      </c>
    </row>
    <row r="8" spans="1:4" x14ac:dyDescent="0.25">
      <c r="A8">
        <v>7</v>
      </c>
      <c r="B8" s="1">
        <v>44742</v>
      </c>
      <c r="C8" t="s">
        <v>4</v>
      </c>
      <c r="D8">
        <v>2022</v>
      </c>
    </row>
    <row r="9" spans="1:4" x14ac:dyDescent="0.25">
      <c r="A9">
        <v>8</v>
      </c>
      <c r="B9" s="1">
        <v>44926</v>
      </c>
      <c r="C9" t="s">
        <v>5</v>
      </c>
      <c r="D9">
        <v>2022</v>
      </c>
    </row>
    <row r="10" spans="1:4" x14ac:dyDescent="0.25">
      <c r="A10">
        <v>9</v>
      </c>
      <c r="B10" s="1">
        <v>45107</v>
      </c>
      <c r="C10" t="s">
        <v>4</v>
      </c>
      <c r="D10">
        <v>2023</v>
      </c>
    </row>
    <row r="11" spans="1:4" x14ac:dyDescent="0.25">
      <c r="A11">
        <v>10</v>
      </c>
      <c r="B11" s="1">
        <v>45291</v>
      </c>
      <c r="C11" t="s">
        <v>5</v>
      </c>
      <c r="D11">
        <v>2023</v>
      </c>
    </row>
    <row r="12" spans="1:4" x14ac:dyDescent="0.25">
      <c r="A12">
        <v>11</v>
      </c>
      <c r="B12" s="1">
        <v>45473</v>
      </c>
      <c r="C12" t="s">
        <v>4</v>
      </c>
      <c r="D12">
        <v>2024</v>
      </c>
    </row>
    <row r="13" spans="1:4" x14ac:dyDescent="0.25">
      <c r="A13">
        <v>12</v>
      </c>
      <c r="B13" s="1">
        <v>45838</v>
      </c>
      <c r="C13" t="s">
        <v>4</v>
      </c>
      <c r="D13">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B9723-E963-4F0A-8A76-A073A6EB275C}">
  <dimension ref="A1:D13"/>
  <sheetViews>
    <sheetView workbookViewId="0">
      <selection activeCell="E16" sqref="E16"/>
    </sheetView>
  </sheetViews>
  <sheetFormatPr defaultRowHeight="15" x14ac:dyDescent="0.25"/>
  <cols>
    <col min="1" max="1" width="11.7109375" bestFit="1" customWidth="1"/>
    <col min="2" max="3" width="17" bestFit="1" customWidth="1"/>
    <col min="4" max="4" width="21" bestFit="1" customWidth="1"/>
  </cols>
  <sheetData>
    <row r="1" spans="1:4" x14ac:dyDescent="0.25">
      <c r="A1" t="s">
        <v>0</v>
      </c>
      <c r="B1" t="s">
        <v>12</v>
      </c>
      <c r="C1" t="s">
        <v>13</v>
      </c>
      <c r="D1" t="s">
        <v>14</v>
      </c>
    </row>
    <row r="2" spans="1:4" x14ac:dyDescent="0.25">
      <c r="A2">
        <v>1</v>
      </c>
      <c r="B2">
        <v>8.8000000000000007</v>
      </c>
      <c r="C2">
        <v>1.8</v>
      </c>
      <c r="D2">
        <v>80.400000000000006</v>
      </c>
    </row>
    <row r="3" spans="1:4" x14ac:dyDescent="0.25">
      <c r="A3">
        <v>2</v>
      </c>
      <c r="B3">
        <v>8.6</v>
      </c>
      <c r="C3">
        <v>1.7</v>
      </c>
      <c r="D3">
        <v>81.2</v>
      </c>
    </row>
    <row r="4" spans="1:4" x14ac:dyDescent="0.25">
      <c r="A4">
        <v>3</v>
      </c>
      <c r="B4">
        <v>9.6999999999999993</v>
      </c>
      <c r="C4">
        <v>2.1</v>
      </c>
      <c r="D4">
        <v>82</v>
      </c>
    </row>
    <row r="5" spans="1:4" x14ac:dyDescent="0.25">
      <c r="A5">
        <v>4</v>
      </c>
      <c r="B5">
        <v>9.1999999999999993</v>
      </c>
      <c r="C5">
        <v>1.9</v>
      </c>
      <c r="D5">
        <v>83.5</v>
      </c>
    </row>
    <row r="6" spans="1:4" x14ac:dyDescent="0.25">
      <c r="A6">
        <v>5</v>
      </c>
      <c r="B6">
        <v>7.9</v>
      </c>
      <c r="C6">
        <v>1.5</v>
      </c>
      <c r="D6">
        <v>84.1</v>
      </c>
    </row>
    <row r="7" spans="1:4" x14ac:dyDescent="0.25">
      <c r="A7">
        <v>6</v>
      </c>
      <c r="B7">
        <v>7.1</v>
      </c>
      <c r="C7">
        <v>1.2</v>
      </c>
      <c r="D7">
        <v>85</v>
      </c>
    </row>
    <row r="8" spans="1:4" x14ac:dyDescent="0.25">
      <c r="A8">
        <v>7</v>
      </c>
      <c r="B8">
        <v>7.5</v>
      </c>
      <c r="C8">
        <v>1.4</v>
      </c>
      <c r="D8">
        <v>84.8</v>
      </c>
    </row>
    <row r="9" spans="1:4" x14ac:dyDescent="0.25">
      <c r="A9">
        <v>8</v>
      </c>
      <c r="B9">
        <v>7.5</v>
      </c>
      <c r="C9">
        <v>1.4</v>
      </c>
      <c r="D9">
        <v>85.2</v>
      </c>
    </row>
    <row r="10" spans="1:4" x14ac:dyDescent="0.25">
      <c r="A10">
        <v>9</v>
      </c>
      <c r="B10">
        <v>7.6</v>
      </c>
      <c r="C10">
        <v>1.5</v>
      </c>
      <c r="D10">
        <v>85.5</v>
      </c>
    </row>
    <row r="11" spans="1:4" x14ac:dyDescent="0.25">
      <c r="A11">
        <v>10</v>
      </c>
      <c r="B11">
        <v>7.5</v>
      </c>
      <c r="C11">
        <v>1.4</v>
      </c>
      <c r="D11">
        <v>86</v>
      </c>
    </row>
    <row r="12" spans="1:4" x14ac:dyDescent="0.25">
      <c r="A12">
        <v>11</v>
      </c>
      <c r="B12">
        <v>7.2</v>
      </c>
      <c r="C12">
        <v>1.2</v>
      </c>
      <c r="D12">
        <v>87.3</v>
      </c>
    </row>
    <row r="13" spans="1:4" x14ac:dyDescent="0.25">
      <c r="A13">
        <v>12</v>
      </c>
      <c r="B13">
        <v>7.4</v>
      </c>
      <c r="C13">
        <v>1.3</v>
      </c>
      <c r="D13">
        <v>86.9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3EAE-5A1A-44E0-AAE2-E177B2F478A5}">
  <dimension ref="A1:G13"/>
  <sheetViews>
    <sheetView workbookViewId="0">
      <selection activeCell="B17" sqref="B17"/>
    </sheetView>
  </sheetViews>
  <sheetFormatPr defaultRowHeight="15" x14ac:dyDescent="0.25"/>
  <cols>
    <col min="1" max="1" width="11.7109375" bestFit="1" customWidth="1"/>
    <col min="2" max="2" width="16.85546875" bestFit="1" customWidth="1"/>
    <col min="3" max="3" width="15" bestFit="1" customWidth="1"/>
    <col min="4" max="4" width="16.7109375" bestFit="1" customWidth="1"/>
    <col min="5" max="5" width="6.7109375" bestFit="1" customWidth="1"/>
    <col min="6" max="6" width="17.5703125" bestFit="1" customWidth="1"/>
    <col min="7" max="7" width="12" bestFit="1" customWidth="1"/>
  </cols>
  <sheetData>
    <row r="1" spans="1:7" x14ac:dyDescent="0.25">
      <c r="A1" t="s">
        <v>0</v>
      </c>
      <c r="B1" t="s">
        <v>6</v>
      </c>
      <c r="C1" t="s">
        <v>7</v>
      </c>
      <c r="D1" t="s">
        <v>8</v>
      </c>
      <c r="E1" t="s">
        <v>9</v>
      </c>
      <c r="F1" t="s">
        <v>10</v>
      </c>
      <c r="G1" t="s">
        <v>11</v>
      </c>
    </row>
    <row r="2" spans="1:7" x14ac:dyDescent="0.25">
      <c r="A2">
        <v>1</v>
      </c>
      <c r="B2">
        <v>15.3</v>
      </c>
      <c r="C2">
        <v>9.1999999999999993</v>
      </c>
      <c r="D2">
        <v>0.8</v>
      </c>
      <c r="E2">
        <v>4.0999999999999996</v>
      </c>
      <c r="F2">
        <v>58.2</v>
      </c>
      <c r="G2">
        <v>120.4</v>
      </c>
    </row>
    <row r="3" spans="1:7" x14ac:dyDescent="0.25">
      <c r="A3">
        <v>2</v>
      </c>
      <c r="B3">
        <v>16.100000000000001</v>
      </c>
      <c r="C3">
        <v>9.8000000000000007</v>
      </c>
      <c r="D3">
        <v>0.9</v>
      </c>
      <c r="E3">
        <v>4.3</v>
      </c>
      <c r="F3">
        <v>56.5</v>
      </c>
      <c r="G3">
        <v>135.19999999999999</v>
      </c>
    </row>
    <row r="4" spans="1:7" x14ac:dyDescent="0.25">
      <c r="A4">
        <v>3</v>
      </c>
      <c r="B4">
        <v>14.2</v>
      </c>
      <c r="C4">
        <v>8.5</v>
      </c>
      <c r="D4">
        <v>0.7</v>
      </c>
      <c r="E4">
        <v>3.9</v>
      </c>
      <c r="F4">
        <v>59</v>
      </c>
      <c r="G4">
        <v>110.1</v>
      </c>
    </row>
    <row r="5" spans="1:7" x14ac:dyDescent="0.25">
      <c r="A5">
        <v>4</v>
      </c>
      <c r="B5">
        <v>13.8</v>
      </c>
      <c r="C5">
        <v>8.1</v>
      </c>
      <c r="D5">
        <v>0.7</v>
      </c>
      <c r="E5">
        <v>3.8</v>
      </c>
      <c r="F5">
        <v>60.1</v>
      </c>
      <c r="G5">
        <v>105.4</v>
      </c>
    </row>
    <row r="6" spans="1:7" x14ac:dyDescent="0.25">
      <c r="A6">
        <v>5</v>
      </c>
      <c r="B6">
        <v>15.1</v>
      </c>
      <c r="C6">
        <v>9.1</v>
      </c>
      <c r="D6">
        <v>0.8</v>
      </c>
      <c r="E6">
        <v>4</v>
      </c>
      <c r="F6">
        <v>57.3</v>
      </c>
      <c r="G6">
        <v>128.6</v>
      </c>
    </row>
    <row r="7" spans="1:7" x14ac:dyDescent="0.25">
      <c r="A7">
        <v>6</v>
      </c>
      <c r="B7">
        <v>16.5</v>
      </c>
      <c r="C7">
        <v>10.199999999999999</v>
      </c>
      <c r="D7">
        <v>0.9</v>
      </c>
      <c r="E7">
        <v>4.4000000000000004</v>
      </c>
      <c r="F7">
        <v>55.1</v>
      </c>
      <c r="G7">
        <v>148.30000000000001</v>
      </c>
    </row>
    <row r="8" spans="1:7" x14ac:dyDescent="0.25">
      <c r="A8">
        <v>7</v>
      </c>
      <c r="B8">
        <v>22.1</v>
      </c>
      <c r="C8">
        <v>14.5</v>
      </c>
      <c r="D8">
        <v>1.4</v>
      </c>
      <c r="E8">
        <v>4.5</v>
      </c>
      <c r="F8">
        <v>51.2</v>
      </c>
      <c r="G8">
        <v>138.5</v>
      </c>
    </row>
    <row r="9" spans="1:7" x14ac:dyDescent="0.25">
      <c r="A9">
        <v>8</v>
      </c>
      <c r="B9">
        <v>25.8</v>
      </c>
      <c r="C9">
        <v>16.899999999999999</v>
      </c>
      <c r="D9">
        <v>1.6</v>
      </c>
      <c r="E9">
        <v>5.2</v>
      </c>
      <c r="F9">
        <v>48.5</v>
      </c>
      <c r="G9">
        <v>162</v>
      </c>
    </row>
    <row r="10" spans="1:7" x14ac:dyDescent="0.25">
      <c r="A10">
        <v>9</v>
      </c>
      <c r="B10">
        <v>33.4</v>
      </c>
      <c r="C10">
        <v>22.4</v>
      </c>
      <c r="D10">
        <v>1.9</v>
      </c>
      <c r="E10">
        <v>5.8</v>
      </c>
      <c r="F10">
        <v>44.1</v>
      </c>
      <c r="G10">
        <v>195</v>
      </c>
    </row>
    <row r="11" spans="1:7" x14ac:dyDescent="0.25">
      <c r="A11">
        <v>10</v>
      </c>
      <c r="B11">
        <v>40.200000000000003</v>
      </c>
      <c r="C11">
        <v>27.1</v>
      </c>
      <c r="D11">
        <v>2.2999999999999998</v>
      </c>
      <c r="E11">
        <v>5.5</v>
      </c>
      <c r="F11">
        <v>41.3</v>
      </c>
      <c r="G11">
        <v>235.4</v>
      </c>
    </row>
    <row r="12" spans="1:7" x14ac:dyDescent="0.25">
      <c r="A12">
        <v>11</v>
      </c>
      <c r="B12">
        <v>24.3</v>
      </c>
      <c r="C12">
        <v>15.2</v>
      </c>
      <c r="D12">
        <v>1.5</v>
      </c>
      <c r="E12">
        <v>5.0999999999999996</v>
      </c>
      <c r="F12">
        <v>49.8</v>
      </c>
      <c r="G12">
        <v>122</v>
      </c>
    </row>
    <row r="13" spans="1:7" x14ac:dyDescent="0.25">
      <c r="A13">
        <v>12</v>
      </c>
      <c r="B13">
        <v>17.2</v>
      </c>
      <c r="C13">
        <v>10.8</v>
      </c>
      <c r="D13">
        <v>1</v>
      </c>
      <c r="E13">
        <v>4.5999999999999996</v>
      </c>
      <c r="F13">
        <v>54</v>
      </c>
      <c r="G13">
        <v>162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3D7BD-6FDA-488F-9AE4-BDA926D6E6E9}">
  <dimension ref="A1:D13"/>
  <sheetViews>
    <sheetView workbookViewId="0"/>
  </sheetViews>
  <sheetFormatPr defaultRowHeight="15" x14ac:dyDescent="0.25"/>
  <cols>
    <col min="1" max="1" width="11.7109375" bestFit="1" customWidth="1"/>
    <col min="2" max="2" width="13.140625" bestFit="1" customWidth="1"/>
    <col min="3" max="3" width="14.42578125" bestFit="1" customWidth="1"/>
    <col min="4" max="4" width="17.140625" bestFit="1" customWidth="1"/>
    <col min="5" max="5" width="6.7109375" bestFit="1" customWidth="1"/>
    <col min="6" max="6" width="17.5703125" bestFit="1" customWidth="1"/>
    <col min="7" max="7" width="12" bestFit="1" customWidth="1"/>
  </cols>
  <sheetData>
    <row r="1" spans="1:4" x14ac:dyDescent="0.25">
      <c r="A1" t="s">
        <v>0</v>
      </c>
      <c r="B1" t="s">
        <v>15</v>
      </c>
      <c r="C1" t="s">
        <v>16</v>
      </c>
      <c r="D1" t="s">
        <v>17</v>
      </c>
    </row>
    <row r="2" spans="1:4" x14ac:dyDescent="0.25">
      <c r="A2">
        <v>1</v>
      </c>
      <c r="B2">
        <v>10.75</v>
      </c>
      <c r="C2">
        <v>8.27</v>
      </c>
      <c r="D2">
        <v>49.5</v>
      </c>
    </row>
    <row r="3" spans="1:4" x14ac:dyDescent="0.25">
      <c r="A3">
        <v>2</v>
      </c>
      <c r="B3">
        <v>13.25</v>
      </c>
      <c r="C3">
        <v>11.46</v>
      </c>
      <c r="D3">
        <v>51.2</v>
      </c>
    </row>
    <row r="4" spans="1:4" x14ac:dyDescent="0.25">
      <c r="A4">
        <v>3</v>
      </c>
      <c r="B4">
        <v>11</v>
      </c>
      <c r="C4">
        <v>10.84</v>
      </c>
      <c r="D4">
        <v>50.1</v>
      </c>
    </row>
    <row r="5" spans="1:4" x14ac:dyDescent="0.25">
      <c r="A5">
        <v>4</v>
      </c>
      <c r="B5">
        <v>7</v>
      </c>
      <c r="C5">
        <v>8.83</v>
      </c>
      <c r="D5">
        <v>53.4</v>
      </c>
    </row>
    <row r="6" spans="1:4" x14ac:dyDescent="0.25">
      <c r="A6">
        <v>5</v>
      </c>
      <c r="B6">
        <v>7</v>
      </c>
      <c r="C6">
        <v>9.81</v>
      </c>
      <c r="D6">
        <v>52.8</v>
      </c>
    </row>
    <row r="7" spans="1:4" x14ac:dyDescent="0.25">
      <c r="A7">
        <v>6</v>
      </c>
      <c r="B7">
        <v>8.1300000000000008</v>
      </c>
      <c r="C7">
        <v>10.33</v>
      </c>
      <c r="D7">
        <v>55.1</v>
      </c>
    </row>
    <row r="8" spans="1:4" x14ac:dyDescent="0.25">
      <c r="A8">
        <v>7</v>
      </c>
      <c r="B8">
        <v>10.88</v>
      </c>
      <c r="C8">
        <v>11.41</v>
      </c>
      <c r="D8">
        <v>54.3</v>
      </c>
    </row>
    <row r="9" spans="1:4" x14ac:dyDescent="0.25">
      <c r="A9">
        <v>8</v>
      </c>
      <c r="B9">
        <v>15</v>
      </c>
      <c r="C9">
        <v>25.02</v>
      </c>
      <c r="D9">
        <v>58</v>
      </c>
    </row>
    <row r="10" spans="1:4" x14ac:dyDescent="0.25">
      <c r="A10">
        <v>9</v>
      </c>
      <c r="B10">
        <v>18.579999999999998</v>
      </c>
      <c r="C10">
        <v>28.16</v>
      </c>
      <c r="D10">
        <v>57.4</v>
      </c>
    </row>
    <row r="11" spans="1:4" x14ac:dyDescent="0.25">
      <c r="A11">
        <v>10</v>
      </c>
      <c r="B11">
        <v>22</v>
      </c>
      <c r="C11">
        <v>28.71</v>
      </c>
      <c r="D11">
        <v>61.2</v>
      </c>
    </row>
    <row r="12" spans="1:4" x14ac:dyDescent="0.25">
      <c r="A12">
        <v>11</v>
      </c>
      <c r="B12">
        <v>21.17</v>
      </c>
      <c r="C12">
        <v>16.510000000000002</v>
      </c>
      <c r="D12">
        <v>60.5</v>
      </c>
    </row>
    <row r="13" spans="1:4" x14ac:dyDescent="0.25">
      <c r="A13">
        <v>12</v>
      </c>
      <c r="B13">
        <v>14.13</v>
      </c>
      <c r="C13">
        <v>5.4</v>
      </c>
      <c r="D13">
        <v>62.1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EF62-AC0D-4AEE-BC5D-2A839C6F2A50}">
  <dimension ref="A1:S13"/>
  <sheetViews>
    <sheetView workbookViewId="0">
      <selection activeCell="J16" sqref="J16"/>
    </sheetView>
  </sheetViews>
  <sheetFormatPr defaultRowHeight="15" x14ac:dyDescent="0.25"/>
  <cols>
    <col min="1" max="1" width="11.7109375" bestFit="1" customWidth="1"/>
    <col min="2" max="2" width="13.42578125" bestFit="1" customWidth="1"/>
    <col min="3" max="3" width="6.7109375" bestFit="1" customWidth="1"/>
    <col min="4" max="4" width="13.5703125" bestFit="1" customWidth="1"/>
    <col min="5" max="5" width="16.85546875" bestFit="1" customWidth="1"/>
    <col min="6" max="6" width="15" bestFit="1" customWidth="1"/>
    <col min="7" max="7" width="16.7109375" bestFit="1" customWidth="1"/>
    <col min="8" max="8" width="6.7109375" bestFit="1" customWidth="1"/>
    <col min="9" max="9" width="17.5703125" bestFit="1" customWidth="1"/>
    <col min="10" max="10" width="12" bestFit="1" customWidth="1"/>
    <col min="11" max="12" width="17" bestFit="1" customWidth="1"/>
    <col min="13" max="14" width="21" bestFit="1" customWidth="1"/>
    <col min="15" max="16" width="10.5703125" bestFit="1" customWidth="1"/>
    <col min="17" max="17" width="13.140625" bestFit="1" customWidth="1"/>
    <col min="18" max="18" width="14.42578125" bestFit="1" customWidth="1"/>
    <col min="19" max="19" width="17.140625" customWidth="1"/>
  </cols>
  <sheetData>
    <row r="1" spans="1:19" x14ac:dyDescent="0.25">
      <c r="A1" t="s">
        <v>0</v>
      </c>
      <c r="B1" t="s">
        <v>1</v>
      </c>
      <c r="C1" t="s">
        <v>2</v>
      </c>
      <c r="D1" t="s">
        <v>3</v>
      </c>
      <c r="E1" t="s">
        <v>6</v>
      </c>
      <c r="F1" t="s">
        <v>7</v>
      </c>
      <c r="G1" t="s">
        <v>8</v>
      </c>
      <c r="H1" t="s">
        <v>9</v>
      </c>
      <c r="I1" t="s">
        <v>10</v>
      </c>
      <c r="J1" t="s">
        <v>11</v>
      </c>
      <c r="K1" t="s">
        <v>12</v>
      </c>
      <c r="L1" t="s">
        <v>13</v>
      </c>
      <c r="M1" t="s">
        <v>14</v>
      </c>
      <c r="N1" t="s">
        <v>27</v>
      </c>
      <c r="O1" t="s">
        <v>29</v>
      </c>
      <c r="P1" t="s">
        <v>28</v>
      </c>
      <c r="Q1" t="s">
        <v>15</v>
      </c>
      <c r="R1" t="s">
        <v>16</v>
      </c>
      <c r="S1" t="s">
        <v>17</v>
      </c>
    </row>
    <row r="2" spans="1:19" x14ac:dyDescent="0.25">
      <c r="A2">
        <v>1</v>
      </c>
      <c r="B2" s="1">
        <v>43646</v>
      </c>
      <c r="C2" t="s">
        <v>4</v>
      </c>
      <c r="D2">
        <v>2019</v>
      </c>
      <c r="E2">
        <v>15.3</v>
      </c>
      <c r="F2">
        <v>9.1999999999999993</v>
      </c>
      <c r="G2">
        <v>0.8</v>
      </c>
      <c r="H2">
        <v>4.0999999999999996</v>
      </c>
      <c r="I2">
        <v>58.2</v>
      </c>
      <c r="J2">
        <v>120.4</v>
      </c>
      <c r="K2">
        <v>8.8000000000000007</v>
      </c>
      <c r="L2">
        <v>1.8</v>
      </c>
      <c r="M2">
        <v>80.400000000000006</v>
      </c>
      <c r="N2">
        <v>22.1</v>
      </c>
      <c r="O2">
        <v>46.8</v>
      </c>
      <c r="P2">
        <v>16.100000000000001</v>
      </c>
      <c r="Q2">
        <v>10.75</v>
      </c>
      <c r="R2">
        <v>8.27</v>
      </c>
      <c r="S2">
        <v>49.5</v>
      </c>
    </row>
    <row r="3" spans="1:19" x14ac:dyDescent="0.25">
      <c r="A3">
        <v>2</v>
      </c>
      <c r="B3" s="1">
        <v>43830</v>
      </c>
      <c r="C3" t="s">
        <v>5</v>
      </c>
      <c r="D3">
        <v>2019</v>
      </c>
      <c r="E3">
        <v>16.100000000000001</v>
      </c>
      <c r="F3">
        <v>9.8000000000000007</v>
      </c>
      <c r="G3">
        <v>0.9</v>
      </c>
      <c r="H3">
        <v>4.3</v>
      </c>
      <c r="I3">
        <v>56.5</v>
      </c>
      <c r="J3">
        <v>135.19999999999999</v>
      </c>
      <c r="K3">
        <v>8.6</v>
      </c>
      <c r="L3">
        <v>1.7</v>
      </c>
      <c r="M3">
        <v>81.2</v>
      </c>
      <c r="N3">
        <v>23.4</v>
      </c>
      <c r="O3">
        <v>48.2</v>
      </c>
      <c r="P3">
        <v>17</v>
      </c>
      <c r="Q3">
        <v>13.25</v>
      </c>
      <c r="R3">
        <v>11.46</v>
      </c>
      <c r="S3">
        <v>51.2</v>
      </c>
    </row>
    <row r="4" spans="1:19" x14ac:dyDescent="0.25">
      <c r="A4">
        <v>3</v>
      </c>
      <c r="B4" s="1">
        <v>44012</v>
      </c>
      <c r="C4" t="s">
        <v>4</v>
      </c>
      <c r="D4">
        <v>2020</v>
      </c>
      <c r="E4">
        <v>14.2</v>
      </c>
      <c r="F4">
        <v>8.5</v>
      </c>
      <c r="G4">
        <v>0.7</v>
      </c>
      <c r="H4">
        <v>3.9</v>
      </c>
      <c r="I4">
        <v>59</v>
      </c>
      <c r="J4">
        <v>110.1</v>
      </c>
      <c r="K4">
        <v>9.6999999999999993</v>
      </c>
      <c r="L4">
        <v>2.1</v>
      </c>
      <c r="M4">
        <v>82</v>
      </c>
      <c r="N4">
        <v>24.2</v>
      </c>
      <c r="O4">
        <v>46.3</v>
      </c>
      <c r="P4">
        <v>18.7</v>
      </c>
      <c r="Q4">
        <v>11</v>
      </c>
      <c r="R4">
        <v>10.84</v>
      </c>
      <c r="S4">
        <v>50.1</v>
      </c>
    </row>
    <row r="5" spans="1:19" x14ac:dyDescent="0.25">
      <c r="A5">
        <v>4</v>
      </c>
      <c r="B5" s="1">
        <v>44196</v>
      </c>
      <c r="C5" t="s">
        <v>5</v>
      </c>
      <c r="D5">
        <v>2020</v>
      </c>
      <c r="E5">
        <v>13.8</v>
      </c>
      <c r="F5">
        <v>8.1</v>
      </c>
      <c r="G5">
        <v>0.7</v>
      </c>
      <c r="H5">
        <v>3.8</v>
      </c>
      <c r="I5">
        <v>60.1</v>
      </c>
      <c r="J5">
        <v>105.4</v>
      </c>
      <c r="K5">
        <v>9.1999999999999993</v>
      </c>
      <c r="L5">
        <v>1.9</v>
      </c>
      <c r="M5">
        <v>83.5</v>
      </c>
      <c r="N5">
        <v>25.1</v>
      </c>
      <c r="O5">
        <v>44.8</v>
      </c>
      <c r="P5">
        <v>18.600000000000001</v>
      </c>
      <c r="Q5">
        <v>7</v>
      </c>
      <c r="R5">
        <v>8.83</v>
      </c>
      <c r="S5">
        <v>53.4</v>
      </c>
    </row>
    <row r="6" spans="1:19" x14ac:dyDescent="0.25">
      <c r="A6">
        <v>5</v>
      </c>
      <c r="B6" s="1">
        <v>44377</v>
      </c>
      <c r="C6" t="s">
        <v>4</v>
      </c>
      <c r="D6">
        <v>2021</v>
      </c>
      <c r="E6">
        <v>15.1</v>
      </c>
      <c r="F6">
        <v>9.1</v>
      </c>
      <c r="G6">
        <v>0.8</v>
      </c>
      <c r="H6">
        <v>4</v>
      </c>
      <c r="I6">
        <v>57.3</v>
      </c>
      <c r="J6">
        <v>128.6</v>
      </c>
      <c r="K6">
        <v>7.9</v>
      </c>
      <c r="L6">
        <v>1.5</v>
      </c>
      <c r="M6">
        <v>84.1</v>
      </c>
      <c r="N6">
        <v>26.8</v>
      </c>
      <c r="O6">
        <v>43.1</v>
      </c>
      <c r="P6">
        <v>18.3</v>
      </c>
      <c r="Q6">
        <v>7</v>
      </c>
      <c r="R6">
        <v>9.81</v>
      </c>
      <c r="S6">
        <v>52.8</v>
      </c>
    </row>
    <row r="7" spans="1:19" x14ac:dyDescent="0.25">
      <c r="A7">
        <v>6</v>
      </c>
      <c r="B7" s="1">
        <v>44561</v>
      </c>
      <c r="C7" t="s">
        <v>5</v>
      </c>
      <c r="D7">
        <v>2021</v>
      </c>
      <c r="E7">
        <v>16.5</v>
      </c>
      <c r="F7">
        <v>10.199999999999999</v>
      </c>
      <c r="G7">
        <v>0.9</v>
      </c>
      <c r="H7">
        <v>4.4000000000000004</v>
      </c>
      <c r="I7">
        <v>55.1</v>
      </c>
      <c r="J7">
        <v>148.30000000000001</v>
      </c>
      <c r="K7">
        <v>7.1</v>
      </c>
      <c r="L7">
        <v>1.2</v>
      </c>
      <c r="M7">
        <v>85</v>
      </c>
      <c r="N7">
        <v>28.2</v>
      </c>
      <c r="O7">
        <v>46.5</v>
      </c>
      <c r="P7">
        <v>19.600000000000001</v>
      </c>
      <c r="Q7">
        <v>8.1300000000000008</v>
      </c>
      <c r="R7">
        <v>10.33</v>
      </c>
      <c r="S7">
        <v>55.1</v>
      </c>
    </row>
    <row r="8" spans="1:19" x14ac:dyDescent="0.25">
      <c r="A8">
        <v>7</v>
      </c>
      <c r="B8" s="1">
        <v>44742</v>
      </c>
      <c r="C8" t="s">
        <v>4</v>
      </c>
      <c r="D8">
        <v>2022</v>
      </c>
      <c r="E8">
        <v>22.1</v>
      </c>
      <c r="F8">
        <v>14.5</v>
      </c>
      <c r="G8">
        <v>1.4</v>
      </c>
      <c r="H8">
        <v>4.5</v>
      </c>
      <c r="I8">
        <v>51.2</v>
      </c>
      <c r="J8">
        <v>138.5</v>
      </c>
      <c r="K8">
        <v>7.5</v>
      </c>
      <c r="L8">
        <v>1.4</v>
      </c>
      <c r="M8">
        <v>84.8</v>
      </c>
      <c r="N8">
        <v>30.1</v>
      </c>
      <c r="O8">
        <v>48.9</v>
      </c>
      <c r="P8">
        <v>18.7</v>
      </c>
      <c r="Q8">
        <v>10.88</v>
      </c>
      <c r="R8">
        <v>11.41</v>
      </c>
      <c r="S8">
        <v>54.3</v>
      </c>
    </row>
    <row r="9" spans="1:19" x14ac:dyDescent="0.25">
      <c r="A9">
        <v>8</v>
      </c>
      <c r="B9" s="1">
        <v>44926</v>
      </c>
      <c r="C9" t="s">
        <v>5</v>
      </c>
      <c r="D9">
        <v>2022</v>
      </c>
      <c r="E9">
        <v>25.8</v>
      </c>
      <c r="F9">
        <v>16.899999999999999</v>
      </c>
      <c r="G9">
        <v>1.6</v>
      </c>
      <c r="H9">
        <v>5.2</v>
      </c>
      <c r="I9">
        <v>48.5</v>
      </c>
      <c r="J9">
        <v>162</v>
      </c>
      <c r="K9">
        <v>7.5</v>
      </c>
      <c r="L9">
        <v>1.4</v>
      </c>
      <c r="M9">
        <v>85.2</v>
      </c>
      <c r="N9">
        <v>32.299999999999997</v>
      </c>
      <c r="O9">
        <v>50.4</v>
      </c>
      <c r="P9">
        <v>17</v>
      </c>
      <c r="Q9">
        <v>15</v>
      </c>
      <c r="R9">
        <v>25.02</v>
      </c>
      <c r="S9">
        <v>58</v>
      </c>
    </row>
    <row r="10" spans="1:19" x14ac:dyDescent="0.25">
      <c r="A10">
        <v>9</v>
      </c>
      <c r="B10" s="1">
        <v>45107</v>
      </c>
      <c r="C10" t="s">
        <v>4</v>
      </c>
      <c r="D10">
        <v>2023</v>
      </c>
      <c r="E10">
        <v>33.4</v>
      </c>
      <c r="F10">
        <v>22.4</v>
      </c>
      <c r="G10">
        <v>1.9</v>
      </c>
      <c r="H10">
        <v>5.8</v>
      </c>
      <c r="I10">
        <v>44.1</v>
      </c>
      <c r="J10">
        <v>195</v>
      </c>
      <c r="K10">
        <v>7.6</v>
      </c>
      <c r="L10">
        <v>1.5</v>
      </c>
      <c r="M10">
        <v>85.5</v>
      </c>
      <c r="N10">
        <v>35.200000000000003</v>
      </c>
      <c r="O10">
        <v>41.8</v>
      </c>
      <c r="P10">
        <v>16.3</v>
      </c>
      <c r="Q10">
        <v>18.579999999999998</v>
      </c>
      <c r="R10">
        <v>28.16</v>
      </c>
      <c r="S10">
        <v>57.4</v>
      </c>
    </row>
    <row r="11" spans="1:19" x14ac:dyDescent="0.25">
      <c r="A11">
        <v>10</v>
      </c>
      <c r="B11" s="1">
        <v>45291</v>
      </c>
      <c r="C11" t="s">
        <v>5</v>
      </c>
      <c r="D11">
        <v>2023</v>
      </c>
      <c r="E11">
        <v>40.200000000000003</v>
      </c>
      <c r="F11">
        <v>27.1</v>
      </c>
      <c r="G11">
        <v>2.2999999999999998</v>
      </c>
      <c r="H11">
        <v>5.5</v>
      </c>
      <c r="I11">
        <v>41.3</v>
      </c>
      <c r="J11">
        <v>235.4</v>
      </c>
      <c r="K11">
        <v>7.5</v>
      </c>
      <c r="L11">
        <v>1.4</v>
      </c>
      <c r="M11">
        <v>86</v>
      </c>
      <c r="N11">
        <v>35.700000000000003</v>
      </c>
      <c r="O11">
        <v>42.1</v>
      </c>
      <c r="P11">
        <v>16.8</v>
      </c>
      <c r="Q11">
        <v>22</v>
      </c>
      <c r="R11">
        <v>28.71</v>
      </c>
      <c r="S11">
        <v>61.2</v>
      </c>
    </row>
    <row r="12" spans="1:19" x14ac:dyDescent="0.25">
      <c r="A12">
        <v>11</v>
      </c>
      <c r="B12" s="1">
        <v>45473</v>
      </c>
      <c r="C12" t="s">
        <v>4</v>
      </c>
      <c r="D12">
        <v>2024</v>
      </c>
      <c r="E12">
        <v>24.3</v>
      </c>
      <c r="F12">
        <v>15.2</v>
      </c>
      <c r="G12">
        <v>1.5</v>
      </c>
      <c r="H12">
        <v>5.0999999999999996</v>
      </c>
      <c r="I12">
        <v>49.8</v>
      </c>
      <c r="J12">
        <v>122</v>
      </c>
      <c r="K12">
        <v>7.2</v>
      </c>
      <c r="L12">
        <v>1.2</v>
      </c>
      <c r="M12">
        <v>87.3</v>
      </c>
      <c r="N12">
        <v>53.7</v>
      </c>
      <c r="O12">
        <v>49.7</v>
      </c>
      <c r="P12">
        <v>19.100000000000001</v>
      </c>
      <c r="Q12">
        <v>21.17</v>
      </c>
      <c r="R12">
        <v>16.510000000000002</v>
      </c>
      <c r="S12">
        <v>60.5</v>
      </c>
    </row>
    <row r="13" spans="1:19" x14ac:dyDescent="0.25">
      <c r="A13">
        <v>12</v>
      </c>
      <c r="B13" s="1">
        <v>45838</v>
      </c>
      <c r="C13" t="s">
        <v>4</v>
      </c>
      <c r="D13">
        <v>2025</v>
      </c>
      <c r="E13">
        <v>17.2</v>
      </c>
      <c r="F13">
        <v>10.8</v>
      </c>
      <c r="G13">
        <v>1</v>
      </c>
      <c r="H13">
        <v>4.5999999999999996</v>
      </c>
      <c r="I13">
        <v>54</v>
      </c>
      <c r="J13">
        <v>162</v>
      </c>
      <c r="K13">
        <v>7.4</v>
      </c>
      <c r="L13">
        <v>1.3</v>
      </c>
      <c r="M13">
        <v>86.9</v>
      </c>
      <c r="N13">
        <v>59.5</v>
      </c>
      <c r="O13">
        <v>35.299999999999997</v>
      </c>
      <c r="P13">
        <v>19.5</v>
      </c>
      <c r="Q13">
        <v>14.13</v>
      </c>
      <c r="R13">
        <v>5.4</v>
      </c>
      <c r="S13">
        <v>62.1</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DA13-6112-4818-8A63-231009A9D112}">
  <dimension ref="A2:F8"/>
  <sheetViews>
    <sheetView showGridLines="0" tabSelected="1" topLeftCell="A2" zoomScale="70" zoomScaleNormal="70" workbookViewId="0">
      <selection activeCell="G14" sqref="G14"/>
    </sheetView>
  </sheetViews>
  <sheetFormatPr defaultRowHeight="15" x14ac:dyDescent="0.25"/>
  <cols>
    <col min="2" max="2" width="64.28515625" bestFit="1" customWidth="1"/>
    <col min="3" max="3" width="20.28515625" bestFit="1" customWidth="1"/>
    <col min="4" max="4" width="23.5703125" bestFit="1" customWidth="1"/>
    <col min="5" max="5" width="12" bestFit="1" customWidth="1"/>
  </cols>
  <sheetData>
    <row r="2" spans="1:6" ht="21" x14ac:dyDescent="0.35">
      <c r="A2" s="2"/>
      <c r="B2" s="7" t="s">
        <v>18</v>
      </c>
      <c r="C2" s="6"/>
      <c r="D2" s="6"/>
      <c r="E2" s="6"/>
    </row>
    <row r="4" spans="1:6" x14ac:dyDescent="0.25">
      <c r="B4" s="8" t="s">
        <v>19</v>
      </c>
      <c r="C4" s="9" t="s">
        <v>20</v>
      </c>
      <c r="D4" s="10" t="s">
        <v>21</v>
      </c>
      <c r="E4" s="10" t="s">
        <v>22</v>
      </c>
    </row>
    <row r="5" spans="1:6" x14ac:dyDescent="0.25">
      <c r="B5" s="4" t="s">
        <v>23</v>
      </c>
      <c r="C5" s="11">
        <f>(Merge1!F13)/100</f>
        <v>0.10800000000000001</v>
      </c>
      <c r="D5" s="13">
        <f>(Merge1!F12)/100</f>
        <v>0.152</v>
      </c>
      <c r="E5" s="13">
        <f>(C5-D5)</f>
        <v>-4.3999999999999984E-2</v>
      </c>
      <c r="F5" s="3"/>
    </row>
    <row r="6" spans="1:6" x14ac:dyDescent="0.25">
      <c r="B6" s="4" t="s">
        <v>24</v>
      </c>
      <c r="C6" s="11">
        <f>(Merge1!H13)/100</f>
        <v>4.5999999999999999E-2</v>
      </c>
      <c r="D6" s="13">
        <f>(Merge1!H12)/100</f>
        <v>5.0999999999999997E-2</v>
      </c>
      <c r="E6" s="13">
        <f t="shared" ref="E6:E8" si="0">(C6-D6)</f>
        <v>-4.9999999999999975E-3</v>
      </c>
      <c r="F6" s="3"/>
    </row>
    <row r="7" spans="1:6" x14ac:dyDescent="0.25">
      <c r="B7" s="4" t="s">
        <v>25</v>
      </c>
      <c r="C7" s="11">
        <f>(Merge1!K13)/100</f>
        <v>7.400000000000001E-2</v>
      </c>
      <c r="D7" s="13">
        <f>(Merge1!K12)/100</f>
        <v>7.2000000000000008E-2</v>
      </c>
      <c r="E7" s="13">
        <f t="shared" si="0"/>
        <v>2.0000000000000018E-3</v>
      </c>
      <c r="F7" s="3"/>
    </row>
    <row r="8" spans="1:6" x14ac:dyDescent="0.25">
      <c r="B8" s="5" t="s">
        <v>26</v>
      </c>
      <c r="C8" s="12">
        <f>(Merge1!M13)/100</f>
        <v>0.86900000000000011</v>
      </c>
      <c r="D8" s="14">
        <f>(Merge1!M12)/100</f>
        <v>0.873</v>
      </c>
      <c r="E8" s="14">
        <f t="shared" si="0"/>
        <v>-3.9999999999998925E-3</v>
      </c>
      <c r="F8" s="3"/>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50E4EA-F982-4823-B145-D63F8068BD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periods</vt:lpstr>
      <vt:lpstr>asset_quality</vt:lpstr>
      <vt:lpstr>profitability</vt:lpstr>
      <vt:lpstr>macro_overlay</vt:lpstr>
      <vt:lpstr>Merge1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Rafay</dc:creator>
  <cp:lastModifiedBy>Abdul Rafay</cp:lastModifiedBy>
  <dcterms:created xsi:type="dcterms:W3CDTF">2026-06-26T22:11:05Z</dcterms:created>
  <dcterms:modified xsi:type="dcterms:W3CDTF">2026-07-04T16:20:24Z</dcterms:modified>
</cp:coreProperties>
</file>